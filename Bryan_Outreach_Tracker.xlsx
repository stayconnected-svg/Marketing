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'Prospect Tracker'!$A$1:$BK$1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color rgb="002E7D32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5" customWidth="1" min="4" max="4"/>
    <col width="28" customWidth="1" min="5" max="5"/>
    <col width="22" customWidth="1" min="6" max="6"/>
    <col width="30" customWidth="1" min="7" max="7"/>
    <col width="15" customWidth="1" min="8" max="8"/>
    <col width="8" customWidth="1" min="9" max="9"/>
    <col width="10" customWidth="1" min="10" max="10"/>
    <col width="16" customWidth="1" min="11" max="11"/>
    <col width="28" customWidth="1" min="12" max="12"/>
    <col width="30" customWidth="1" min="13" max="13"/>
    <col width="25" customWidth="1" min="14" max="14"/>
    <col width="15" customWidth="1" min="15" max="15"/>
    <col width="12" customWidth="1" min="16" max="16"/>
    <col width="14" customWidth="1" min="17" max="17"/>
    <col width="20" customWidth="1" min="18" max="18"/>
    <col width="22" customWidth="1" min="19" max="19"/>
    <col width="14" customWidth="1" min="20" max="20"/>
    <col width="20" customWidth="1" min="21" max="21"/>
    <col width="22" customWidth="1" min="22" max="22"/>
    <col width="14" customWidth="1" min="23" max="23"/>
    <col width="20" customWidth="1" min="24" max="24"/>
    <col width="22" customWidth="1" min="25" max="25"/>
    <col width="12" customWidth="1" min="26" max="26"/>
    <col width="14" customWidth="1" min="27" max="27"/>
    <col width="18" customWidth="1" min="28" max="28"/>
    <col width="14" customWidth="1" min="29" max="29"/>
    <col width="14" customWidth="1" min="30" max="30"/>
    <col width="16" customWidth="1" min="31" max="31"/>
    <col width="25" customWidth="1" min="32" max="32"/>
    <col width="35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</cols>
  <sheetData>
    <row r="1">
      <c r="A1" s="1" t="inlineStr">
        <is>
          <t>Priority</t>
        </is>
      </c>
      <c r="B1" s="1" t="inlineStr">
        <is>
          <t>Industry</t>
        </is>
      </c>
      <c r="C1" s="1" t="inlineStr">
        <is>
          <t>Full Name</t>
        </is>
      </c>
      <c r="D1" s="1" t="inlineStr">
        <is>
          <t>Title/Credential</t>
        </is>
      </c>
      <c r="E1" s="1" t="inlineStr">
        <is>
          <t>Business Name</t>
        </is>
      </c>
      <c r="F1" s="1" t="inlineStr">
        <is>
          <t>Specialty/Practice Area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LinkedIn URL</t>
        </is>
      </c>
      <c r="N1" s="1" t="inlineStr">
        <is>
          <t>Website</t>
        </is>
      </c>
      <c r="O1" s="1" t="inlineStr">
        <is>
          <t>Source</t>
        </is>
      </c>
      <c r="P1" s="1" t="inlineStr">
        <is>
          <t>Date Added</t>
        </is>
      </c>
      <c r="Q1" s="1" t="inlineStr">
        <is>
          <t>Outreach 1 Date</t>
        </is>
      </c>
      <c r="R1" s="1" t="inlineStr">
        <is>
          <t>Outreach 1 Channel</t>
        </is>
      </c>
      <c r="S1" s="1" t="inlineStr">
        <is>
          <t>Outreach 1 Template</t>
        </is>
      </c>
      <c r="T1" s="1" t="inlineStr">
        <is>
          <t>Outreach 2 Date</t>
        </is>
      </c>
      <c r="U1" s="1" t="inlineStr">
        <is>
          <t>Outreach 2 Channel</t>
        </is>
      </c>
      <c r="V1" s="1" t="inlineStr">
        <is>
          <t>Outreach 2 Template</t>
        </is>
      </c>
      <c r="W1" s="1" t="inlineStr">
        <is>
          <t>Outreach 3 Date</t>
        </is>
      </c>
      <c r="X1" s="1" t="inlineStr">
        <is>
          <t>Outreach 3 Channel</t>
        </is>
      </c>
      <c r="Y1" s="1" t="inlineStr">
        <is>
          <t>Outreach 3 Template</t>
        </is>
      </c>
      <c r="Z1" s="1" t="inlineStr">
        <is>
          <t>Response (Y/N)</t>
        </is>
      </c>
      <c r="AA1" s="1" t="inlineStr">
        <is>
          <t>Response Date</t>
        </is>
      </c>
      <c r="AB1" s="1" t="inlineStr">
        <is>
          <t>Response Type</t>
        </is>
      </c>
      <c r="AC1" s="1" t="inlineStr">
        <is>
          <t>Meeting Scheduled (Y/N)</t>
        </is>
      </c>
      <c r="AD1" s="1" t="inlineStr">
        <is>
          <t>Meeting Date</t>
        </is>
      </c>
      <c r="AE1" s="1" t="inlineStr">
        <is>
          <t>Status</t>
        </is>
      </c>
      <c r="AF1" s="1" t="inlineStr">
        <is>
          <t>Next Step</t>
        </is>
      </c>
      <c r="AG1" s="1" t="inlineStr">
        <is>
          <t>Notes</t>
        </is>
      </c>
      <c r="AH1" s="4" t="inlineStr">
        <is>
          <t>Email Verified</t>
        </is>
      </c>
      <c r="AI1" s="4" t="inlineStr">
        <is>
          <t>Email Source</t>
        </is>
      </c>
      <c r="AJ1" s="4" t="inlineStr">
        <is>
          <t>Domain</t>
        </is>
      </c>
      <c r="AK1" s="4" t="inlineStr">
        <is>
          <t>Sequence Name</t>
        </is>
      </c>
      <c r="AL1" s="4" t="inlineStr">
        <is>
          <t>Sequence Step</t>
        </is>
      </c>
      <c r="AM1" s="4" t="inlineStr">
        <is>
          <t>Email 1 Sent</t>
        </is>
      </c>
      <c r="AN1" s="4" t="inlineStr">
        <is>
          <t>Email 1 Opened</t>
        </is>
      </c>
      <c r="AO1" s="4" t="inlineStr">
        <is>
          <t>Email 1 Replied</t>
        </is>
      </c>
      <c r="AP1" s="4" t="inlineStr">
        <is>
          <t>Email 2 Sent</t>
        </is>
      </c>
      <c r="AQ1" s="4" t="inlineStr">
        <is>
          <t>Email 2 Opened</t>
        </is>
      </c>
      <c r="AR1" s="4" t="inlineStr">
        <is>
          <t>Email 2 Replied</t>
        </is>
      </c>
      <c r="AS1" s="4" t="inlineStr">
        <is>
          <t>Email 3 Sent</t>
        </is>
      </c>
      <c r="AT1" s="4" t="inlineStr">
        <is>
          <t>Email 3 Opened</t>
        </is>
      </c>
      <c r="AU1" s="4" t="inlineStr">
        <is>
          <t>Email 3 Replied</t>
        </is>
      </c>
      <c r="AV1" s="4" t="inlineStr">
        <is>
          <t>Email 4 Sent</t>
        </is>
      </c>
      <c r="AW1" s="4" t="inlineStr">
        <is>
          <t>Email 4 Opened</t>
        </is>
      </c>
      <c r="AX1" s="4" t="inlineStr">
        <is>
          <t>Email 4 Replied</t>
        </is>
      </c>
      <c r="AY1" s="4" t="inlineStr">
        <is>
          <t>Email 5 Sent</t>
        </is>
      </c>
      <c r="AZ1" s="4" t="inlineStr">
        <is>
          <t>Email 5 Opened</t>
        </is>
      </c>
      <c r="BA1" s="4" t="inlineStr">
        <is>
          <t>Email 5 Replied</t>
        </is>
      </c>
      <c r="BB1" s="4" t="inlineStr">
        <is>
          <t>Total Opens</t>
        </is>
      </c>
      <c r="BC1" s="4" t="inlineStr">
        <is>
          <t>Total Replies</t>
        </is>
      </c>
      <c r="BD1" s="4" t="inlineStr">
        <is>
          <t>Bounced (Y/N)</t>
        </is>
      </c>
      <c r="BE1" s="4" t="inlineStr">
        <is>
          <t>Bounce Type</t>
        </is>
      </c>
      <c r="BF1" s="4" t="inlineStr">
        <is>
          <t>Unsubscribed (Y/N)</t>
        </is>
      </c>
      <c r="BG1" s="4" t="inlineStr">
        <is>
          <t>Marked Spam (Y/N)</t>
        </is>
      </c>
      <c r="BH1" s="4" t="inlineStr">
        <is>
          <t>Sending Mailbox</t>
        </is>
      </c>
      <c r="BI1" s="4" t="inlineStr">
        <is>
          <t>Sending Domain</t>
        </is>
      </c>
      <c r="BJ1" s="4" t="inlineStr">
        <is>
          <t>Warm Handoff Sent</t>
        </is>
      </c>
      <c r="BK1" s="4" t="inlineStr">
        <is>
          <t>Handoff to Bryan Date</t>
        </is>
      </c>
    </row>
  </sheetData>
  <autoFilter ref="A1:B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Prospects</t>
        </is>
      </c>
      <c r="B2">
        <f>COUNTA('Prospect Tracker'!C:C)-1</f>
        <v/>
      </c>
    </row>
    <row r="3">
      <c r="A3" s="3" t="inlineStr">
        <is>
          <t>Dentists</t>
        </is>
      </c>
      <c r="B3">
        <f>COUNTIF('Prospect Tracker'!B:B,"Dentist")</f>
        <v/>
      </c>
    </row>
    <row r="4">
      <c r="A4" s="3" t="inlineStr">
        <is>
          <t>Doctors</t>
        </is>
      </c>
      <c r="B4">
        <f>COUNTIF('Prospect Tracker'!B:B,"Physician")</f>
        <v/>
      </c>
    </row>
    <row r="5">
      <c r="A5" s="3" t="inlineStr">
        <is>
          <t>Lawyers</t>
        </is>
      </c>
      <c r="B5">
        <f>COUNTIF('Prospect Tracker'!B:B,"Lawyer")</f>
        <v/>
      </c>
    </row>
    <row r="6">
      <c r="A6" s="3" t="inlineStr"/>
    </row>
    <row r="7">
      <c r="A7" s="3" t="inlineStr">
        <is>
          <t>Contacted</t>
        </is>
      </c>
      <c r="B7">
        <f>COUNTIF('Prospect Tracker'!AG:AG,"Contacted")+COUNTIF('Prospect Tracker'!AG:AG,"Responded")+COUNTIF('Prospect Tracker'!AG:AG,"Meeting Set")+COUNTIF('Prospect Tracker'!AG:AG,"Meeting Complete")+COUNTIF('Prospect Tracker'!AG:AG,"Proposal Sent")+COUNTIF('Prospect Tracker'!AG:AG,"Won")</f>
        <v/>
      </c>
    </row>
    <row r="8">
      <c r="A8" s="3" t="inlineStr">
        <is>
          <t>Responded</t>
        </is>
      </c>
      <c r="B8">
        <f>COUNTIF('Prospect Tracker'!AA:AA,"Y")</f>
        <v/>
      </c>
    </row>
    <row r="9">
      <c r="A9" s="3" t="inlineStr">
        <is>
          <t>Meetings Scheduled</t>
        </is>
      </c>
      <c r="B9">
        <f>COUNTIF('Prospect Tracker'!AD:AD,"Y")</f>
        <v/>
      </c>
    </row>
    <row r="10">
      <c r="A10" s="3" t="inlineStr">
        <is>
          <t>Won</t>
        </is>
      </c>
      <c r="B10">
        <f>COUNTIF('Prospect Tracker'!AG:AG,"Won")</f>
        <v/>
      </c>
    </row>
    <row r="11">
      <c r="A11" s="3" t="inlineStr"/>
    </row>
    <row r="12">
      <c r="A12" s="3" t="inlineStr">
        <is>
          <t>Response Rate</t>
        </is>
      </c>
      <c r="B12">
        <f>IF(B6&gt;0,B7/B6,"N/A")</f>
        <v/>
      </c>
    </row>
    <row r="13">
      <c r="A13" s="3" t="inlineStr">
        <is>
          <t>Meeting Rate</t>
        </is>
      </c>
      <c r="B13">
        <f>IF(B7&gt;0,B8/B7,"N/A")</f>
        <v/>
      </c>
    </row>
    <row r="15">
      <c r="A15" s="3" t="inlineStr"/>
      <c r="B15" t="inlineStr"/>
    </row>
    <row r="16">
      <c r="A16" s="5" t="inlineStr">
        <is>
          <t>--- EMAIL CAMPAIGN METRICS ---</t>
        </is>
      </c>
      <c r="B16" t="inlineStr"/>
    </row>
    <row r="17">
      <c r="A17" s="3" t="inlineStr">
        <is>
          <t>Total Emails Sent</t>
        </is>
      </c>
      <c r="B17">
        <f>SUM('Prospect Tracker'!AM:AM)</f>
        <v/>
      </c>
    </row>
    <row r="18">
      <c r="A18" s="3" t="inlineStr">
        <is>
          <t>Emails Opened (unique prospects)</t>
        </is>
      </c>
      <c r="B18" t="inlineStr"/>
    </row>
    <row r="19">
      <c r="A19" s="3" t="inlineStr">
        <is>
          <t>Emails Replied (unique prospects)</t>
        </is>
      </c>
      <c r="B19" t="inlineStr"/>
    </row>
    <row r="20">
      <c r="A20" s="3" t="inlineStr">
        <is>
          <t>Bounced</t>
        </is>
      </c>
      <c r="B20" t="inlineStr"/>
    </row>
    <row r="21">
      <c r="A21" s="3" t="inlineStr">
        <is>
          <t>Unsubscribed</t>
        </is>
      </c>
      <c r="B21" t="inlineStr"/>
    </row>
    <row r="22">
      <c r="A22" s="3" t="inlineStr"/>
      <c r="B22" t="inlineStr"/>
    </row>
    <row r="23">
      <c r="A23" s="5" t="inlineStr">
        <is>
          <t>--- DELIVERABILITY ---</t>
        </is>
      </c>
      <c r="B23" t="inlineStr"/>
    </row>
    <row r="24">
      <c r="A24" s="3" t="inlineStr">
        <is>
          <t>Open Rate</t>
        </is>
      </c>
      <c r="B24" t="inlineStr"/>
    </row>
    <row r="25">
      <c r="A25" s="3" t="inlineStr">
        <is>
          <t>Reply Rate</t>
        </is>
      </c>
      <c r="B25" t="inlineStr"/>
    </row>
    <row r="26">
      <c r="A26" s="3" t="inlineStr">
        <is>
          <t>Bounce Rate</t>
        </is>
      </c>
      <c r="B26" t="inlineStr"/>
    </row>
    <row r="27">
      <c r="A27" s="3" t="inlineStr">
        <is>
          <t>Spam Complaint Rate</t>
        </is>
      </c>
      <c r="B27" t="inlineStr"/>
    </row>
    <row r="28">
      <c r="A28" s="3" t="inlineStr"/>
      <c r="B28" t="inlineStr"/>
    </row>
    <row r="29">
      <c r="A29" s="5" t="inlineStr">
        <is>
          <t>--- SEQUENCE PERFORMANCE ---</t>
        </is>
      </c>
      <c r="B29" t="inlineStr"/>
    </row>
    <row r="30">
      <c r="A30" s="3" t="inlineStr">
        <is>
          <t>Email 1 Open Rate</t>
        </is>
      </c>
      <c r="B30" t="inlineStr"/>
    </row>
    <row r="31">
      <c r="A31" s="3" t="inlineStr">
        <is>
          <t>Email 2 Open Rate</t>
        </is>
      </c>
      <c r="B31" t="inlineStr"/>
    </row>
    <row r="32">
      <c r="A32" s="3" t="inlineStr">
        <is>
          <t>Email 3 Open Rate</t>
        </is>
      </c>
      <c r="B32" t="inlineStr"/>
    </row>
    <row r="33">
      <c r="A33" s="3" t="inlineStr">
        <is>
          <t>Email 4 Open Rate</t>
        </is>
      </c>
      <c r="B33" t="inlineStr"/>
    </row>
    <row r="34">
      <c r="A34" s="3" t="inlineStr">
        <is>
          <t>Email 5 Open Rate</t>
        </is>
      </c>
      <c r="B34" t="inlineStr"/>
    </row>
    <row r="35">
      <c r="A35" s="3" t="inlineStr"/>
      <c r="B35" t="inlineStr"/>
    </row>
    <row r="36">
      <c r="A36" s="5" t="inlineStr">
        <is>
          <t>--- PIPELINE ---</t>
        </is>
      </c>
      <c r="B36" t="inlineStr"/>
    </row>
    <row r="37">
      <c r="A37" s="3" t="inlineStr">
        <is>
          <t>Warm Handoffs Sent</t>
        </is>
      </c>
      <c r="B37" t="inlineStr"/>
    </row>
    <row r="38">
      <c r="A38" s="3" t="inlineStr">
        <is>
          <t>Handed Off to Bryan</t>
        </is>
      </c>
      <c r="B38" t="inlineStr"/>
    </row>
    <row r="39">
      <c r="A39" s="3" t="inlineStr">
        <is>
          <t>Meetings from Email</t>
        </is>
      </c>
      <c r="B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3" max="3"/>
    <col width="15" customWidth="1" min="5" max="5"/>
    <col width="18" customWidth="1" min="7" max="7"/>
    <col width="18" customWidth="1" min="9" max="9"/>
    <col width="35" customWidth="1" min="11" max="11"/>
  </cols>
  <sheetData>
    <row r="1">
      <c r="A1" s="3" t="inlineStr">
        <is>
          <t>Status Options</t>
        </is>
      </c>
      <c r="C1" s="3" t="inlineStr">
        <is>
          <t>Channel Options</t>
        </is>
      </c>
      <c r="E1" s="3" t="inlineStr">
        <is>
          <t>Industries</t>
        </is>
      </c>
      <c r="G1" s="3" t="inlineStr">
        <is>
          <t>Email Statuses</t>
        </is>
      </c>
      <c r="I1" s="3" t="inlineStr">
        <is>
          <t>Bounce Types</t>
        </is>
      </c>
      <c r="K1" s="3" t="inlineStr">
        <is>
          <t>Sequence Names</t>
        </is>
      </c>
    </row>
    <row r="2">
      <c r="A2" t="inlineStr">
        <is>
          <t>New</t>
        </is>
      </c>
      <c r="C2" t="inlineStr">
        <is>
          <t>Email - Cold Intro</t>
        </is>
      </c>
      <c r="E2" t="inlineStr">
        <is>
          <t>Dentist</t>
        </is>
      </c>
      <c r="G2" t="inlineStr">
        <is>
          <t>verified</t>
        </is>
      </c>
      <c r="I2" t="inlineStr">
        <is>
          <t>hard</t>
        </is>
      </c>
      <c r="K2" t="inlineStr">
        <is>
          <t>Simpl ABI - Dentist Sequence</t>
        </is>
      </c>
    </row>
    <row r="3">
      <c r="A3" t="inlineStr">
        <is>
          <t>Contacted</t>
        </is>
      </c>
      <c r="C3" t="inlineStr">
        <is>
          <t>Email - Whitepaper Offer</t>
        </is>
      </c>
      <c r="E3" t="inlineStr">
        <is>
          <t>Physician</t>
        </is>
      </c>
      <c r="G3" t="inlineStr">
        <is>
          <t>pattern_match</t>
        </is>
      </c>
      <c r="I3" t="inlineStr">
        <is>
          <t>soft</t>
        </is>
      </c>
      <c r="K3" t="inlineStr">
        <is>
          <t>Simpl ABI - Doctor Sequence</t>
        </is>
      </c>
    </row>
    <row r="4">
      <c r="A4" t="inlineStr">
        <is>
          <t>Responded</t>
        </is>
      </c>
      <c r="C4" t="inlineStr">
        <is>
          <t>Email - Event Invite</t>
        </is>
      </c>
      <c r="E4" t="inlineStr">
        <is>
          <t>Lawyer</t>
        </is>
      </c>
      <c r="G4" t="inlineStr">
        <is>
          <t>catchall</t>
        </is>
      </c>
      <c r="I4" t="inlineStr">
        <is>
          <t>invalid_address</t>
        </is>
      </c>
      <c r="K4" t="inlineStr">
        <is>
          <t>Simpl ABI - Lawyer Sequence</t>
        </is>
      </c>
    </row>
    <row r="5">
      <c r="A5" t="inlineStr">
        <is>
          <t>Meeting Set</t>
        </is>
      </c>
      <c r="C5" t="inlineStr">
        <is>
          <t>Email - Follow Up</t>
        </is>
      </c>
      <c r="G5" t="inlineStr">
        <is>
          <t>no_mx</t>
        </is>
      </c>
      <c r="I5" t="inlineStr">
        <is>
          <t>mailbox_full</t>
        </is>
      </c>
      <c r="K5" t="inlineStr">
        <is>
          <t>Bryan Direct - Pre-Approved</t>
        </is>
      </c>
    </row>
    <row r="6">
      <c r="A6" t="inlineStr">
        <is>
          <t>Meeting Complete</t>
        </is>
      </c>
      <c r="C6" t="inlineStr">
        <is>
          <t>LinkedIn - Connection Request</t>
        </is>
      </c>
      <c r="G6" t="inlineStr">
        <is>
          <t>invalid</t>
        </is>
      </c>
      <c r="I6" t="inlineStr">
        <is>
          <t>domain_error</t>
        </is>
      </c>
    </row>
    <row r="7">
      <c r="A7" t="inlineStr">
        <is>
          <t>Proposal Sent</t>
        </is>
      </c>
      <c r="C7" t="inlineStr">
        <is>
          <t>LinkedIn - Message</t>
        </is>
      </c>
      <c r="G7" t="inlineStr">
        <is>
          <t>unknown</t>
        </is>
      </c>
    </row>
    <row r="8">
      <c r="A8" t="inlineStr">
        <is>
          <t>Won</t>
        </is>
      </c>
      <c r="C8" t="inlineStr">
        <is>
          <t>Phone Call</t>
        </is>
      </c>
      <c r="G8" t="inlineStr">
        <is>
          <t>error</t>
        </is>
      </c>
    </row>
    <row r="9">
      <c r="A9" t="inlineStr">
        <is>
          <t>Lost</t>
        </is>
      </c>
      <c r="C9" t="inlineStr">
        <is>
          <t>Direct Mail</t>
        </is>
      </c>
    </row>
    <row r="10">
      <c r="A10" t="inlineStr">
        <is>
          <t>Not Interested</t>
        </is>
      </c>
      <c r="C10" t="inlineStr">
        <is>
          <t>In Person</t>
        </is>
      </c>
    </row>
    <row r="11">
      <c r="A11" t="inlineStr">
        <is>
          <t>Follow Up Later</t>
        </is>
      </c>
      <c r="C11" t="inlineStr">
        <is>
          <t>Referral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2026-05-15T18:44:44Z</dcterms:created>
  <dcterms:modified xmlns:dcterms="http://purl.org/dc/terms/" xmlns:xsi="http://www.w3.org/2001/XMLSchema-instance" xsi:type="dcterms:W3CDTF">2026-05-15T22:26:12Z</dcterms:modified>
</cp:coreProperties>
</file>